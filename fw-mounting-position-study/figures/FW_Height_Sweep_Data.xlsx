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<sst xmlns="http://schemas.openxmlformats.org/spreadsheetml/2006/main" count="128" uniqueCount="51">
  <si>
    <t xml:space="preserve">All raw figures are HALF CAR FIGURES because aero runs half car CFD. </t>
  </si>
  <si>
    <t>Take all force figures as an estimate. RANS inherently underpredicts separation, and FSAE cars have huge separation zones. What matters more than raw DF or drag is the TREND they produce, the deltas.</t>
  </si>
  <si>
    <t>DELTA VS BASELINE</t>
  </si>
  <si>
    <t>ABSOLUTE VALUES (N or % wheelbase)</t>
  </si>
  <si>
    <t>Monitor</t>
  </si>
  <si>
    <t>-0.375"</t>
  </si>
  <si>
    <t>-0.250"</t>
  </si>
  <si>
    <t>-0.125"</t>
  </si>
  <si>
    <t>0.000" (BL)</t>
  </si>
  <si>
    <t>0.125"</t>
  </si>
  <si>
    <t>0.250"</t>
  </si>
  <si>
    <t>0.375"</t>
  </si>
  <si>
    <t>FW_DF Monitor</t>
  </si>
  <si>
    <t>RW_DF Monitor</t>
  </si>
  <si>
    <t>UT_DF Monitor</t>
  </si>
  <si>
    <t>Whisker_DF Monitor</t>
  </si>
  <si>
    <t>Body_DF Monitor</t>
  </si>
  <si>
    <t>EL1_DF Monitor</t>
  </si>
  <si>
    <t>EL2_DF Monitor</t>
  </si>
  <si>
    <t>EL3_DF Monitor</t>
  </si>
  <si>
    <t>Footplate_DF Monitor</t>
  </si>
  <si>
    <t>FW DF</t>
  </si>
  <si>
    <t>Total_Aero_DF Monitor</t>
  </si>
  <si>
    <t>Total_DF Monitor</t>
  </si>
  <si>
    <t>FW_Drag Monitor</t>
  </si>
  <si>
    <t>EL3_Drag Monitor</t>
  </si>
  <si>
    <t>RW DF</t>
  </si>
  <si>
    <t>Total_Drag Monitor</t>
  </si>
  <si>
    <t>UT DF</t>
  </si>
  <si>
    <t>CoP Monitor</t>
  </si>
  <si>
    <t>Total Aero DF</t>
  </si>
  <si>
    <t>CoP_Meters Monitor</t>
  </si>
  <si>
    <t>Total DF</t>
  </si>
  <si>
    <t>Total Drag</t>
  </si>
  <si>
    <t>Component Breakdown</t>
  </si>
  <si>
    <t>Body DF</t>
  </si>
  <si>
    <t>EL1 DF</t>
  </si>
  <si>
    <t>EL2 DF</t>
  </si>
  <si>
    <t>EL3 DF</t>
  </si>
  <si>
    <t>Footplate DF</t>
  </si>
  <si>
    <t>Whisker DF</t>
  </si>
  <si>
    <t>FW Drag</t>
  </si>
  <si>
    <t>EL3 Drag</t>
  </si>
  <si>
    <t>CoP</t>
  </si>
  <si>
    <t>CoP Meters</t>
  </si>
  <si>
    <t>Delta Cl</t>
  </si>
  <si>
    <t>Cl</t>
  </si>
  <si>
    <t>Delta Cd</t>
  </si>
  <si>
    <t>Cd</t>
  </si>
  <si>
    <t>Delta L/D</t>
  </si>
  <si>
    <t>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</si>
</sst>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0.0"/>
      <color rgb="FF000000"/>
      <name val="Arial"/>
      <scheme val="minor"/>
    </font>
    <font>
      <b/>
      <sz val="14.0"/>
      <color theme="1"/>
      <name val="Arial"/>
      <scheme val="minor"/>
    </font>
    <font>
      <b/>
      <sz val="11.0"/>
      <color rgb="FFFFFFFF"/>
      <name val="Arial"/>
      <scheme val="minor"/>
    </font>
    <font>
      <color theme="1"/>
      <name val="Arial"/>
      <scheme val="minor"/>
    </font>
    <font/>
    <font>
      <b/>
      <color rgb="FFFFFFFF"/>
      <name val="Arial"/>
      <scheme val="minor"/>
    </font>
    <font>
      <b/>
      <color theme="1"/>
      <name val="Arial"/>
      <scheme val="minor"/>
    </font>
    <font>
      <b/>
      <i/>
      <color theme="1"/>
      <name val="Arial"/>
      <scheme val="minor"/>
    </font>
  </fonts>
  <fills count="8">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EEF2F7"/>
        <bgColor rgb="FFEEF2F7"/>
      </patternFill>
    </fill>
    <fill>
      <patternFill patternType="solid">
        <fgColor rgb="FFBDD7EE"/>
        <bgColor rgb="FFBDD7EE"/>
      </patternFill>
    </fill>
    <fill>
      <patternFill patternType="solid">
        <fgColor rgb="FFFFFFFF"/>
        <bgColor rgb="FFFFFFFF"/>
      </patternFill>
    </fill>
    <fill>
      <patternFill patternType="solid">
        <fgColor rgb="FFF2F2F2"/>
        <bgColor rgb="FFF2F2F2"/>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xf>
    <xf borderId="0" fillId="0" fontId="3" numFmtId="0" xfId="0" applyAlignment="1" applyFont="1">
      <alignment readingOrder="0"/>
    </xf>
    <xf borderId="2" fillId="0" fontId="4" numFmtId="0" xfId="0" applyBorder="1" applyFont="1"/>
    <xf borderId="3" fillId="0" fontId="4" numFmtId="0" xfId="0" applyBorder="1" applyFont="1"/>
    <xf borderId="4" fillId="3" fontId="5" numFmtId="0" xfId="0" applyAlignment="1" applyBorder="1" applyFill="1" applyFont="1">
      <alignment horizontal="left" readingOrder="0"/>
    </xf>
    <xf borderId="0" fillId="3" fontId="5" numFmtId="164" xfId="0" applyAlignment="1" applyFont="1" applyNumberFormat="1">
      <alignment horizontal="center" readingOrder="0"/>
    </xf>
    <xf borderId="5" fillId="3" fontId="5" numFmtId="164" xfId="0" applyAlignment="1" applyBorder="1" applyFont="1" applyNumberFormat="1">
      <alignment horizontal="center" readingOrder="0"/>
    </xf>
    <xf borderId="4" fillId="4" fontId="6" numFmtId="0" xfId="0" applyAlignment="1" applyBorder="1" applyFill="1" applyFont="1">
      <alignment horizontal="left" readingOrder="0"/>
    </xf>
    <xf borderId="0" fillId="4" fontId="3" numFmtId="164" xfId="0" applyAlignment="1" applyFont="1" applyNumberFormat="1">
      <alignment horizontal="center" readingOrder="0"/>
    </xf>
    <xf borderId="5" fillId="4" fontId="3" numFmtId="164" xfId="0" applyAlignment="1" applyBorder="1" applyFont="1" applyNumberFormat="1">
      <alignment horizontal="center" readingOrder="0"/>
    </xf>
    <xf borderId="4" fillId="5" fontId="7" numFmtId="0" xfId="0" applyAlignment="1" applyBorder="1" applyFill="1" applyFont="1">
      <alignment horizontal="left" readingOrder="0"/>
    </xf>
    <xf borderId="5" fillId="0" fontId="4" numFmtId="0" xfId="0" applyBorder="1" applyFont="1"/>
    <xf borderId="4" fillId="6" fontId="3" numFmtId="0" xfId="0" applyAlignment="1" applyBorder="1" applyFill="1" applyFont="1">
      <alignment horizontal="left" readingOrder="0"/>
    </xf>
    <xf borderId="0" fillId="6" fontId="3" numFmtId="164" xfId="0" applyAlignment="1" applyFont="1" applyNumberFormat="1">
      <alignment horizontal="center" readingOrder="0"/>
    </xf>
    <xf borderId="5" fillId="6" fontId="3" numFmtId="164" xfId="0" applyAlignment="1" applyBorder="1" applyFont="1" applyNumberFormat="1">
      <alignment horizontal="center" readingOrder="0"/>
    </xf>
    <xf borderId="4" fillId="7" fontId="3" numFmtId="0" xfId="0" applyAlignment="1" applyBorder="1" applyFill="1" applyFont="1">
      <alignment horizontal="left" readingOrder="0"/>
    </xf>
    <xf borderId="0" fillId="7" fontId="3" numFmtId="164" xfId="0" applyAlignment="1" applyFont="1" applyNumberFormat="1">
      <alignment horizontal="center" readingOrder="0"/>
    </xf>
    <xf borderId="5" fillId="7" fontId="3" numFmtId="164" xfId="0" applyAlignment="1" applyBorder="1" applyFont="1" applyNumberFormat="1">
      <alignment horizontal="center" readingOrder="0"/>
    </xf>
    <xf borderId="6" fillId="7" fontId="3" numFmtId="0" xfId="0" applyAlignment="1" applyBorder="1" applyFont="1">
      <alignment horizontal="left" readingOrder="0"/>
    </xf>
    <xf borderId="7" fillId="7" fontId="3" numFmtId="164" xfId="0" applyAlignment="1" applyBorder="1" applyFont="1" applyNumberFormat="1">
      <alignment horizontal="center" readingOrder="0"/>
    </xf>
    <xf borderId="8" fillId="7" fontId="3" numFmtId="164" xfId="0" applyAlignment="1" applyBorder="1" applyFont="1" applyNumberFormat="1">
      <alignment horizontal="center" readingOrder="0"/>
    </xf>
    <xf borderId="0" fillId="0" fontId="3" numFmtId="0" xfId="0" applyFont="1"/>
    <xf borderId="4" fillId="7" fontId="6" numFmtId="0" xfId="0" applyAlignment="1" applyBorder="1" applyFont="1">
      <alignment readingOrder="0"/>
    </xf>
    <xf borderId="0" fillId="0" fontId="3" numFmtId="0" xfId="0" applyAlignment="1" applyFont="1">
      <alignment horizontal="center" readingOrder="0"/>
    </xf>
    <xf borderId="0" fillId="0" fontId="3" numFmtId="0" xfId="0" applyAlignment="1" applyFont="1">
      <alignment horizontal="center"/>
    </xf>
    <xf borderId="5" fillId="0" fontId="3" numFmtId="0" xfId="0" applyAlignment="1" applyBorder="1" applyFont="1">
      <alignment horizontal="center" readingOrder="0"/>
    </xf>
    <xf borderId="0" fillId="7" fontId="3" numFmtId="0" xfId="0" applyAlignment="1" applyFont="1">
      <alignment horizontal="center" readingOrder="0"/>
    </xf>
    <xf borderId="5" fillId="7" fontId="3" numFmtId="0" xfId="0" applyAlignment="1" applyBorder="1" applyFont="1">
      <alignment horizontal="center" readingOrder="0"/>
    </xf>
    <xf borderId="5" fillId="0" fontId="3" numFmtId="0" xfId="0" applyAlignment="1" applyBorder="1" applyFont="1">
      <alignment horizontal="center"/>
    </xf>
    <xf borderId="6" fillId="7" fontId="6" numFmtId="0" xfId="0" applyAlignment="1" applyBorder="1" applyFont="1">
      <alignment readingOrder="0"/>
    </xf>
    <xf borderId="7" fillId="0" fontId="3" numFmtId="0" xfId="0" applyAlignment="1" applyBorder="1" applyFont="1">
      <alignment horizontal="center" readingOrder="0"/>
    </xf>
    <xf borderId="7" fillId="0" fontId="3" numFmtId="0" xfId="0" applyAlignment="1" applyBorder="1" applyFont="1">
      <alignment horizontal="center"/>
    </xf>
    <xf borderId="8" fillId="0" fontId="3" numFmtId="0" xfId="0" applyAlignment="1" applyBorder="1" applyFont="1">
      <alignment horizontal="center" readingOrder="0"/>
    </xf>
    <xf borderId="7" fillId="7" fontId="3" numFmtId="0" xfId="0" applyAlignment="1" applyBorder="1" applyFont="1">
      <alignment horizontal="center" readingOrder="0"/>
    </xf>
    <xf borderId="8" fillId="7"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8" width="12.63"/>
    <col customWidth="1" min="10" max="10" width="16.75"/>
  </cols>
  <sheetData>
    <row r="1">
      <c r="A1" s="1" t="s">
        <v>0</v>
      </c>
    </row>
    <row r="2">
      <c r="A2" s="1" t="s">
        <v>1</v>
      </c>
    </row>
    <row r="4">
      <c r="A4" s="2" t="s">
        <v>2</v>
      </c>
      <c r="B4" s="4"/>
      <c r="C4" s="4"/>
      <c r="D4" s="4"/>
      <c r="E4" s="4"/>
      <c r="F4" s="4"/>
      <c r="G4" s="4"/>
      <c r="H4" s="5"/>
      <c r="J4" s="2" t="s">
        <v>3</v>
      </c>
      <c r="K4" s="4"/>
      <c r="L4" s="4"/>
      <c r="M4" s="4"/>
      <c r="N4" s="4"/>
      <c r="O4" s="4"/>
      <c r="P4" s="4"/>
      <c r="Q4" s="5"/>
    </row>
    <row r="5">
      <c r="A5" s="6" t="s">
        <v>4</v>
      </c>
      <c r="B5" s="7" t="s">
        <v>5</v>
      </c>
      <c r="C5" s="7" t="s">
        <v>6</v>
      </c>
      <c r="D5" s="7" t="s">
        <v>7</v>
      </c>
      <c r="E5" s="7" t="s">
        <v>8</v>
      </c>
      <c r="F5" s="7" t="s">
        <v>9</v>
      </c>
      <c r="G5" s="7" t="s">
        <v>10</v>
      </c>
      <c r="H5" s="8" t="s">
        <v>11</v>
      </c>
      <c r="J5" s="6" t="s">
        <v>4</v>
      </c>
      <c r="K5" s="7" t="s">
        <v>5</v>
      </c>
      <c r="L5" s="7" t="s">
        <v>6</v>
      </c>
      <c r="M5" s="7" t="s">
        <v>7</v>
      </c>
      <c r="N5" s="7" t="s">
        <v>8</v>
      </c>
      <c r="O5" s="7" t="s">
        <v>9</v>
      </c>
      <c r="P5" s="7" t="s">
        <v>10</v>
      </c>
      <c r="Q5" s="8" t="s">
        <v>11</v>
      </c>
    </row>
    <row r="6">
      <c r="A6" s="9" t="s">
        <v>21</v>
      </c>
      <c r="B6" s="10">
        <v>-7.685</v>
      </c>
      <c r="C6" s="10">
        <v>-7.224</v>
      </c>
      <c r="D6" s="10">
        <v>-3.898</v>
      </c>
      <c r="E6" s="10">
        <v>0.0</v>
      </c>
      <c r="F6" s="10">
        <v>3.305</v>
      </c>
      <c r="G6" s="10">
        <v>13.33</v>
      </c>
      <c r="H6" s="11">
        <v>8.205</v>
      </c>
      <c r="J6" s="9" t="s">
        <v>21</v>
      </c>
      <c r="K6" s="10">
        <v>-7.685</v>
      </c>
      <c r="L6" s="10">
        <v>-7.685</v>
      </c>
      <c r="M6" s="10">
        <v>-3.898</v>
      </c>
      <c r="N6" s="10">
        <v>0.0</v>
      </c>
      <c r="O6" s="10">
        <v>3.305</v>
      </c>
      <c r="P6" s="10">
        <v>13.33</v>
      </c>
      <c r="Q6" s="11">
        <v>8.205</v>
      </c>
    </row>
    <row r="7">
      <c r="A7" s="9" t="s">
        <v>26</v>
      </c>
      <c r="B7" s="10">
        <v>-3.809</v>
      </c>
      <c r="C7" s="10">
        <v>1.988</v>
      </c>
      <c r="D7" s="10">
        <v>0.183</v>
      </c>
      <c r="E7" s="10">
        <v>0.0</v>
      </c>
      <c r="F7" s="10">
        <v>1.555</v>
      </c>
      <c r="G7" s="10">
        <v>-1.666</v>
      </c>
      <c r="H7" s="11">
        <v>0.261</v>
      </c>
      <c r="J7" s="9" t="s">
        <v>26</v>
      </c>
      <c r="K7" s="10">
        <v>-3.809</v>
      </c>
      <c r="L7" s="10">
        <v>1.988</v>
      </c>
      <c r="M7" s="10">
        <v>0.183</v>
      </c>
      <c r="N7" s="10">
        <v>0.0</v>
      </c>
      <c r="O7" s="10">
        <v>1.555</v>
      </c>
      <c r="P7" s="10">
        <v>-1.666</v>
      </c>
      <c r="Q7" s="11">
        <v>0.261</v>
      </c>
    </row>
    <row r="8">
      <c r="A8" s="9" t="s">
        <v>28</v>
      </c>
      <c r="B8" s="10">
        <v>21.357</v>
      </c>
      <c r="C8" s="10">
        <v>3.606</v>
      </c>
      <c r="D8" s="10">
        <v>0.515</v>
      </c>
      <c r="E8" s="10">
        <v>0.0</v>
      </c>
      <c r="F8" s="10">
        <v>-0.442</v>
      </c>
      <c r="G8" s="10">
        <v>-0.394</v>
      </c>
      <c r="H8" s="11">
        <v>-2.627</v>
      </c>
      <c r="J8" s="9" t="s">
        <v>28</v>
      </c>
      <c r="K8" s="10">
        <v>21.357</v>
      </c>
      <c r="L8" s="10">
        <v>3.606</v>
      </c>
      <c r="M8" s="10">
        <v>0.515</v>
      </c>
      <c r="N8" s="10">
        <v>0.0</v>
      </c>
      <c r="O8" s="10">
        <v>-0.442</v>
      </c>
      <c r="P8" s="10">
        <v>-0.394</v>
      </c>
      <c r="Q8" s="11">
        <v>-2.627</v>
      </c>
    </row>
    <row r="9">
      <c r="A9" s="9" t="s">
        <v>30</v>
      </c>
      <c r="B9" s="10">
        <v>12.75</v>
      </c>
      <c r="C9" s="10">
        <v>-1.804</v>
      </c>
      <c r="D9" s="10">
        <v>-3.223</v>
      </c>
      <c r="E9" s="10">
        <v>0.0</v>
      </c>
      <c r="F9" s="10">
        <v>4.475</v>
      </c>
      <c r="G9" s="10">
        <v>12.136</v>
      </c>
      <c r="H9" s="11">
        <v>5.941</v>
      </c>
      <c r="J9" s="9" t="s">
        <v>30</v>
      </c>
      <c r="K9" s="10">
        <v>-347.961</v>
      </c>
      <c r="L9" s="10">
        <v>-362.515</v>
      </c>
      <c r="M9" s="10">
        <v>-363.935</v>
      </c>
      <c r="N9" s="10">
        <v>-360.711</v>
      </c>
      <c r="O9" s="10">
        <v>-356.237</v>
      </c>
      <c r="P9" s="10">
        <v>-348.576</v>
      </c>
      <c r="Q9" s="11">
        <v>-354.771</v>
      </c>
    </row>
    <row r="10">
      <c r="A10" s="9" t="s">
        <v>32</v>
      </c>
      <c r="B10" s="10">
        <v>12.885</v>
      </c>
      <c r="C10" s="10">
        <v>-1.023</v>
      </c>
      <c r="D10" s="10">
        <v>-1.888</v>
      </c>
      <c r="E10" s="10">
        <v>0.0</v>
      </c>
      <c r="F10" s="10">
        <v>5.853</v>
      </c>
      <c r="G10" s="10">
        <v>13.221</v>
      </c>
      <c r="H10" s="11">
        <v>7.06</v>
      </c>
      <c r="J10" s="9" t="s">
        <v>32</v>
      </c>
      <c r="K10" s="10">
        <v>-332.799</v>
      </c>
      <c r="L10" s="10">
        <v>-346.706</v>
      </c>
      <c r="M10" s="10">
        <v>-347.572</v>
      </c>
      <c r="N10" s="10">
        <v>-345.684</v>
      </c>
      <c r="O10" s="10">
        <v>-339.831</v>
      </c>
      <c r="P10" s="10">
        <v>-332.463</v>
      </c>
      <c r="Q10" s="11">
        <v>-338.624</v>
      </c>
    </row>
    <row r="11">
      <c r="A11" s="9" t="s">
        <v>33</v>
      </c>
      <c r="B11" s="10">
        <v>-2.56</v>
      </c>
      <c r="C11" s="10">
        <v>-2.265</v>
      </c>
      <c r="D11" s="10">
        <v>-1.737</v>
      </c>
      <c r="E11" s="10">
        <v>0.0</v>
      </c>
      <c r="F11" s="10">
        <v>0.259</v>
      </c>
      <c r="G11" s="10">
        <v>-0.639</v>
      </c>
      <c r="H11" s="11">
        <v>0.891</v>
      </c>
      <c r="J11" s="9" t="s">
        <v>33</v>
      </c>
      <c r="K11" s="10">
        <v>139.748</v>
      </c>
      <c r="L11" s="10">
        <v>140.043</v>
      </c>
      <c r="M11" s="10">
        <v>140.571</v>
      </c>
      <c r="N11" s="10">
        <v>142.308</v>
      </c>
      <c r="O11" s="10">
        <v>142.567</v>
      </c>
      <c r="P11" s="10">
        <v>141.669</v>
      </c>
      <c r="Q11" s="11">
        <v>143.199</v>
      </c>
    </row>
    <row r="12">
      <c r="A12" s="12" t="s">
        <v>34</v>
      </c>
      <c r="H12" s="13"/>
      <c r="J12" s="12" t="s">
        <v>34</v>
      </c>
      <c r="Q12" s="13"/>
    </row>
    <row r="13">
      <c r="A13" s="14" t="s">
        <v>35</v>
      </c>
      <c r="B13" s="15">
        <v>2.855</v>
      </c>
      <c r="C13" s="15">
        <v>-0.02</v>
      </c>
      <c r="D13" s="15">
        <v>0.029</v>
      </c>
      <c r="E13" s="15">
        <v>0.0</v>
      </c>
      <c r="F13" s="15">
        <v>0.011</v>
      </c>
      <c r="G13" s="15">
        <v>0.955</v>
      </c>
      <c r="H13" s="16">
        <v>0.148</v>
      </c>
      <c r="J13" s="14" t="s">
        <v>35</v>
      </c>
      <c r="K13" s="15">
        <v>-23.066</v>
      </c>
      <c r="L13" s="15">
        <v>-25.94</v>
      </c>
      <c r="M13" s="15">
        <v>-25.891</v>
      </c>
      <c r="N13" s="15">
        <v>-25.92</v>
      </c>
      <c r="O13" s="15">
        <v>-25.909</v>
      </c>
      <c r="P13" s="15">
        <v>-24.965</v>
      </c>
      <c r="Q13" s="16">
        <v>-25.772</v>
      </c>
    </row>
    <row r="14">
      <c r="A14" s="17" t="s">
        <v>36</v>
      </c>
      <c r="B14" s="18">
        <v>-6.279</v>
      </c>
      <c r="C14" s="18">
        <v>-5.352</v>
      </c>
      <c r="D14" s="18">
        <v>-2.781</v>
      </c>
      <c r="E14" s="18">
        <v>0.0</v>
      </c>
      <c r="F14" s="18">
        <v>2.579</v>
      </c>
      <c r="G14" s="18">
        <v>9.442</v>
      </c>
      <c r="H14" s="19">
        <v>6.129</v>
      </c>
      <c r="J14" s="17" t="s">
        <v>36</v>
      </c>
      <c r="K14" s="18">
        <v>-104.779</v>
      </c>
      <c r="L14" s="18">
        <v>-103.852</v>
      </c>
      <c r="M14" s="18">
        <v>-101.281</v>
      </c>
      <c r="N14" s="18">
        <v>-98.5</v>
      </c>
      <c r="O14" s="18">
        <v>-95.921</v>
      </c>
      <c r="P14" s="18">
        <v>-89.058</v>
      </c>
      <c r="Q14" s="19">
        <v>-92.371</v>
      </c>
    </row>
    <row r="15">
      <c r="A15" s="14" t="s">
        <v>37</v>
      </c>
      <c r="B15" s="15">
        <v>-0.881</v>
      </c>
      <c r="C15" s="15">
        <v>-1.187</v>
      </c>
      <c r="D15" s="15">
        <v>-0.726</v>
      </c>
      <c r="E15" s="15">
        <v>0.0</v>
      </c>
      <c r="F15" s="15">
        <v>0.507</v>
      </c>
      <c r="G15" s="15">
        <v>2.336</v>
      </c>
      <c r="H15" s="16">
        <v>1.223</v>
      </c>
      <c r="J15" s="14" t="s">
        <v>37</v>
      </c>
      <c r="K15" s="15">
        <v>-28.46</v>
      </c>
      <c r="L15" s="15">
        <v>-28.765</v>
      </c>
      <c r="M15" s="15">
        <v>-28.304</v>
      </c>
      <c r="N15" s="15">
        <v>-27.579</v>
      </c>
      <c r="O15" s="15">
        <v>-27.071</v>
      </c>
      <c r="P15" s="15">
        <v>-25.243</v>
      </c>
      <c r="Q15" s="16">
        <v>-26.355</v>
      </c>
    </row>
    <row r="16">
      <c r="A16" s="17" t="s">
        <v>38</v>
      </c>
      <c r="B16" s="18">
        <v>-0.359</v>
      </c>
      <c r="C16" s="18">
        <v>-0.253</v>
      </c>
      <c r="D16" s="18">
        <v>-0.183</v>
      </c>
      <c r="E16" s="18">
        <v>0.0</v>
      </c>
      <c r="F16" s="18">
        <v>0.111</v>
      </c>
      <c r="G16" s="18">
        <v>0.183</v>
      </c>
      <c r="H16" s="19">
        <v>-0.117</v>
      </c>
      <c r="J16" s="17" t="s">
        <v>38</v>
      </c>
      <c r="K16" s="18">
        <v>-8.392</v>
      </c>
      <c r="L16" s="18">
        <v>-8.286</v>
      </c>
      <c r="M16" s="18">
        <v>-8.217</v>
      </c>
      <c r="N16" s="18">
        <v>-8.033</v>
      </c>
      <c r="O16" s="18">
        <v>-7.922</v>
      </c>
      <c r="P16" s="18">
        <v>-7.85</v>
      </c>
      <c r="Q16" s="19">
        <v>-8.15</v>
      </c>
    </row>
    <row r="17">
      <c r="A17" s="14" t="s">
        <v>39</v>
      </c>
      <c r="B17" s="15">
        <v>-0.166</v>
      </c>
      <c r="C17" s="15">
        <v>-0.432</v>
      </c>
      <c r="D17" s="15">
        <v>-0.208</v>
      </c>
      <c r="E17" s="15">
        <v>0.0</v>
      </c>
      <c r="F17" s="15">
        <v>0.108</v>
      </c>
      <c r="G17" s="15">
        <v>1.369</v>
      </c>
      <c r="H17" s="16">
        <v>0.97</v>
      </c>
      <c r="J17" s="14" t="s">
        <v>39</v>
      </c>
      <c r="K17" s="15">
        <v>-5.989</v>
      </c>
      <c r="L17" s="15">
        <v>-6.255</v>
      </c>
      <c r="M17" s="15">
        <v>-6.031</v>
      </c>
      <c r="N17" s="15">
        <v>-5.823</v>
      </c>
      <c r="O17" s="15">
        <v>-5.715</v>
      </c>
      <c r="P17" s="15">
        <v>-4.454</v>
      </c>
      <c r="Q17" s="16">
        <v>-4.853</v>
      </c>
    </row>
    <row r="18">
      <c r="A18" s="17" t="s">
        <v>40</v>
      </c>
      <c r="B18" s="18">
        <v>0.031</v>
      </c>
      <c r="C18" s="18">
        <v>-0.153</v>
      </c>
      <c r="D18" s="18">
        <v>-0.052</v>
      </c>
      <c r="E18" s="18">
        <v>0.0</v>
      </c>
      <c r="F18" s="18">
        <v>0.045</v>
      </c>
      <c r="G18" s="18">
        <v>-0.091</v>
      </c>
      <c r="H18" s="19">
        <v>-0.046</v>
      </c>
      <c r="J18" s="17" t="s">
        <v>40</v>
      </c>
      <c r="K18" s="18">
        <v>0.031</v>
      </c>
      <c r="L18" s="18">
        <v>-0.153</v>
      </c>
      <c r="M18" s="18">
        <v>-0.052</v>
      </c>
      <c r="N18" s="18">
        <v>0.0</v>
      </c>
      <c r="O18" s="18">
        <v>0.045</v>
      </c>
      <c r="P18" s="18">
        <v>-0.091</v>
      </c>
      <c r="Q18" s="19">
        <v>-0.046</v>
      </c>
    </row>
    <row r="19">
      <c r="A19" s="14" t="s">
        <v>41</v>
      </c>
      <c r="B19" s="15">
        <v>0.64</v>
      </c>
      <c r="C19" s="15">
        <v>0.596</v>
      </c>
      <c r="D19" s="15">
        <v>0.328</v>
      </c>
      <c r="E19" s="15">
        <v>0.0</v>
      </c>
      <c r="F19" s="15">
        <v>-0.224</v>
      </c>
      <c r="G19" s="15">
        <v>-0.898</v>
      </c>
      <c r="H19" s="16">
        <v>-0.266</v>
      </c>
      <c r="J19" s="14" t="s">
        <v>41</v>
      </c>
      <c r="K19" s="15">
        <v>14.366</v>
      </c>
      <c r="L19" s="15">
        <v>14.321</v>
      </c>
      <c r="M19" s="15">
        <v>14.053</v>
      </c>
      <c r="N19" s="15">
        <v>13.725</v>
      </c>
      <c r="O19" s="15">
        <v>13.502</v>
      </c>
      <c r="P19" s="15">
        <v>12.828</v>
      </c>
      <c r="Q19" s="16">
        <v>13.459</v>
      </c>
    </row>
    <row r="20">
      <c r="A20" s="17" t="s">
        <v>42</v>
      </c>
      <c r="B20" s="18">
        <v>0.18</v>
      </c>
      <c r="C20" s="18">
        <v>0.103</v>
      </c>
      <c r="D20" s="18">
        <v>0.081</v>
      </c>
      <c r="E20" s="18">
        <v>0.0</v>
      </c>
      <c r="F20" s="18">
        <v>-0.052</v>
      </c>
      <c r="G20" s="18">
        <v>-0.059</v>
      </c>
      <c r="H20" s="19">
        <v>0.084</v>
      </c>
      <c r="J20" s="17" t="s">
        <v>42</v>
      </c>
      <c r="K20" s="18">
        <v>4.705</v>
      </c>
      <c r="L20" s="18">
        <v>4.627</v>
      </c>
      <c r="M20" s="18">
        <v>4.606</v>
      </c>
      <c r="N20" s="18">
        <v>4.525</v>
      </c>
      <c r="O20" s="18">
        <v>4.473</v>
      </c>
      <c r="P20" s="18">
        <v>4.466</v>
      </c>
      <c r="Q20" s="19">
        <v>4.609</v>
      </c>
    </row>
    <row r="21">
      <c r="A21" s="14" t="s">
        <v>43</v>
      </c>
      <c r="B21" s="15">
        <v>-1.9</v>
      </c>
      <c r="C21" s="15">
        <v>-2.757</v>
      </c>
      <c r="D21" s="15">
        <v>-1.348</v>
      </c>
      <c r="E21" s="15">
        <v>0.0</v>
      </c>
      <c r="F21" s="15">
        <v>0.38</v>
      </c>
      <c r="G21" s="15">
        <v>3.864</v>
      </c>
      <c r="H21" s="16">
        <v>2.023</v>
      </c>
      <c r="J21" s="14" t="s">
        <v>43</v>
      </c>
      <c r="K21" s="15">
        <v>46.566</v>
      </c>
      <c r="L21" s="15">
        <v>45.709</v>
      </c>
      <c r="M21" s="15">
        <v>47.118</v>
      </c>
      <c r="N21" s="15">
        <v>48.466</v>
      </c>
      <c r="O21" s="15">
        <v>48.846</v>
      </c>
      <c r="P21" s="15">
        <v>52.33</v>
      </c>
      <c r="Q21" s="16">
        <v>50.489</v>
      </c>
    </row>
    <row r="22">
      <c r="A22" s="20" t="s">
        <v>44</v>
      </c>
      <c r="B22" s="21">
        <v>-0.03</v>
      </c>
      <c r="C22" s="21">
        <v>-0.043</v>
      </c>
      <c r="D22" s="21">
        <v>-0.021</v>
      </c>
      <c r="E22" s="21">
        <v>0.0</v>
      </c>
      <c r="F22" s="21">
        <v>0.006</v>
      </c>
      <c r="G22" s="21">
        <v>0.061</v>
      </c>
      <c r="H22" s="22">
        <v>0.032</v>
      </c>
      <c r="J22" s="20" t="s">
        <v>44</v>
      </c>
      <c r="K22" s="21">
        <v>0.733</v>
      </c>
      <c r="L22" s="21">
        <v>0.72</v>
      </c>
      <c r="M22" s="21">
        <v>0.742</v>
      </c>
      <c r="N22" s="21">
        <v>0.763</v>
      </c>
      <c r="O22" s="21">
        <v>0.769</v>
      </c>
      <c r="P22" s="21">
        <v>0.824</v>
      </c>
      <c r="Q22" s="22">
        <v>0.795</v>
      </c>
    </row>
    <row r="23">
      <c r="A23" s="23"/>
    </row>
    <row r="25">
      <c r="A25" s="2" t="s">
        <v>2</v>
      </c>
      <c r="B25" s="4"/>
      <c r="C25" s="4"/>
      <c r="D25" s="4"/>
      <c r="E25" s="4"/>
      <c r="F25" s="4"/>
      <c r="G25" s="4"/>
      <c r="H25" s="5"/>
      <c r="J25" s="2" t="s">
        <v>3</v>
      </c>
      <c r="K25" s="4"/>
      <c r="L25" s="4"/>
      <c r="M25" s="4"/>
      <c r="N25" s="4"/>
      <c r="O25" s="4"/>
      <c r="P25" s="4"/>
      <c r="Q25" s="5"/>
    </row>
    <row r="26">
      <c r="A26" s="6" t="s">
        <v>4</v>
      </c>
      <c r="B26" s="7" t="s">
        <v>5</v>
      </c>
      <c r="C26" s="7" t="s">
        <v>6</v>
      </c>
      <c r="D26" s="7" t="s">
        <v>7</v>
      </c>
      <c r="E26" s="7" t="s">
        <v>8</v>
      </c>
      <c r="F26" s="7" t="s">
        <v>9</v>
      </c>
      <c r="G26" s="7" t="s">
        <v>10</v>
      </c>
      <c r="H26" s="8" t="s">
        <v>11</v>
      </c>
      <c r="J26" s="6" t="s">
        <v>4</v>
      </c>
      <c r="K26" s="7" t="s">
        <v>5</v>
      </c>
      <c r="L26" s="7" t="s">
        <v>6</v>
      </c>
      <c r="M26" s="7" t="s">
        <v>7</v>
      </c>
      <c r="N26" s="7" t="s">
        <v>8</v>
      </c>
      <c r="O26" s="7" t="s">
        <v>9</v>
      </c>
      <c r="P26" s="7" t="s">
        <v>10</v>
      </c>
      <c r="Q26" s="8" t="s">
        <v>11</v>
      </c>
    </row>
    <row r="27">
      <c r="A27" s="24" t="s">
        <v>45</v>
      </c>
      <c r="B27" s="25">
        <v>-0.0829</v>
      </c>
      <c r="C27" s="26">
        <f>+0.0117</f>
        <v>0.0117</v>
      </c>
      <c r="D27" s="26">
        <f>+0.021</f>
        <v>0.021</v>
      </c>
      <c r="E27" s="18">
        <v>0.0</v>
      </c>
      <c r="F27" s="25">
        <v>-0.0291</v>
      </c>
      <c r="G27" s="25">
        <v>-0.0789</v>
      </c>
      <c r="H27" s="27">
        <v>-0.0386</v>
      </c>
      <c r="J27" s="24" t="s">
        <v>46</v>
      </c>
      <c r="K27" s="28">
        <v>2.2615</v>
      </c>
      <c r="L27" s="28">
        <v>2.3561</v>
      </c>
      <c r="M27" s="28">
        <v>2.3654</v>
      </c>
      <c r="N27" s="28">
        <v>2.3444</v>
      </c>
      <c r="O27" s="28">
        <v>2.3153</v>
      </c>
      <c r="P27" s="28">
        <v>2.2655</v>
      </c>
      <c r="Q27" s="29">
        <v>2.3058</v>
      </c>
    </row>
    <row r="28">
      <c r="A28" s="24" t="s">
        <v>47</v>
      </c>
      <c r="B28" s="25">
        <v>-0.0166</v>
      </c>
      <c r="C28" s="25">
        <v>-0.0147</v>
      </c>
      <c r="D28" s="25">
        <v>-0.0113</v>
      </c>
      <c r="E28" s="18">
        <v>0.0</v>
      </c>
      <c r="F28" s="26">
        <f>+0.0017</f>
        <v>0.0017</v>
      </c>
      <c r="G28" s="25">
        <v>-0.0042</v>
      </c>
      <c r="H28" s="30">
        <f>+0.0058</f>
        <v>0.0058</v>
      </c>
      <c r="J28" s="24" t="s">
        <v>48</v>
      </c>
      <c r="K28" s="28">
        <v>0.9083</v>
      </c>
      <c r="L28" s="28">
        <v>0.9102</v>
      </c>
      <c r="M28" s="28">
        <v>0.9136</v>
      </c>
      <c r="N28" s="28">
        <v>0.9249</v>
      </c>
      <c r="O28" s="28">
        <v>0.9266</v>
      </c>
      <c r="P28" s="28">
        <v>0.9208</v>
      </c>
      <c r="Q28" s="29">
        <v>0.9307</v>
      </c>
    </row>
    <row r="29">
      <c r="A29" s="31" t="s">
        <v>49</v>
      </c>
      <c r="B29" s="32">
        <v>-0.0448</v>
      </c>
      <c r="C29" s="33">
        <f>+0.0539</f>
        <v>0.0539</v>
      </c>
      <c r="D29" s="33">
        <f>+0.0543</f>
        <v>0.0543</v>
      </c>
      <c r="E29" s="21">
        <v>0.0</v>
      </c>
      <c r="F29" s="32">
        <v>-0.036</v>
      </c>
      <c r="G29" s="32">
        <v>-0.0742</v>
      </c>
      <c r="H29" s="34">
        <v>-0.0573</v>
      </c>
      <c r="J29" s="31" t="s">
        <v>50</v>
      </c>
      <c r="K29" s="35">
        <v>2.4899</v>
      </c>
      <c r="L29" s="35">
        <v>2.5886</v>
      </c>
      <c r="M29" s="35">
        <v>2.589</v>
      </c>
      <c r="N29" s="35">
        <v>2.5347</v>
      </c>
      <c r="O29" s="35">
        <v>2.4987</v>
      </c>
      <c r="P29" s="35">
        <v>2.4605</v>
      </c>
      <c r="Q29" s="36">
        <v>2.4775</v>
      </c>
    </row>
  </sheetData>
  <mergeCells count="6">
    <mergeCell ref="A4:H4"/>
    <mergeCell ref="J4:Q4"/>
    <mergeCell ref="A12:H12"/>
    <mergeCell ref="J12:Q12"/>
    <mergeCell ref="A25:H25"/>
    <mergeCell ref="J25:Q25"/>
  </mergeCells>
  <conditionalFormatting sqref="B6:H6 E27">
    <cfRule type="colorScale" priority="1">
      <colorScale>
        <cfvo type="formula" val="-7.685"/>
        <cfvo type="formula" val="0"/>
        <cfvo type="formula" val="13.33"/>
        <color rgb="FF4472C4"/>
        <color rgb="FFFFFFFF"/>
        <color rgb="FFFF4444"/>
      </colorScale>
    </cfRule>
  </conditionalFormatting>
  <conditionalFormatting sqref="B7:H7 E28">
    <cfRule type="colorScale" priority="2">
      <colorScale>
        <cfvo type="formula" val="-3.809"/>
        <cfvo type="formula" val="0"/>
        <cfvo type="formula" val="1.988"/>
        <color rgb="FF4472C4"/>
        <color rgb="FFFFFFFF"/>
        <color rgb="FFFF4444"/>
      </colorScale>
    </cfRule>
  </conditionalFormatting>
  <conditionalFormatting sqref="B8:H8 E29">
    <cfRule type="colorScale" priority="3">
      <colorScale>
        <cfvo type="formula" val="-2.627"/>
        <cfvo type="formula" val="0"/>
        <cfvo type="formula" val="21.357"/>
        <color rgb="FF4472C4"/>
        <color rgb="FFFFFFFF"/>
        <color rgb="FFFF4444"/>
      </colorScale>
    </cfRule>
  </conditionalFormatting>
  <conditionalFormatting sqref="B9:H9">
    <cfRule type="colorScale" priority="4">
      <colorScale>
        <cfvo type="formula" val="-3.223"/>
        <cfvo type="formula" val="0"/>
        <cfvo type="formula" val="12.75"/>
        <color rgb="FF4472C4"/>
        <color rgb="FFFFFFFF"/>
        <color rgb="FFFF4444"/>
      </colorScale>
    </cfRule>
  </conditionalFormatting>
  <conditionalFormatting sqref="B10:H10">
    <cfRule type="colorScale" priority="5">
      <colorScale>
        <cfvo type="formula" val="-1.888"/>
        <cfvo type="formula" val="0"/>
        <cfvo type="formula" val="13.221"/>
        <color rgb="FF4472C4"/>
        <color rgb="FFFFFFFF"/>
        <color rgb="FFFF4444"/>
      </colorScale>
    </cfRule>
  </conditionalFormatting>
  <conditionalFormatting sqref="B11:H11">
    <cfRule type="colorScale" priority="6">
      <colorScale>
        <cfvo type="formula" val="-2.56"/>
        <cfvo type="formula" val="0"/>
        <cfvo type="formula" val="0.891"/>
        <color rgb="FF4472C4"/>
        <color rgb="FFFFFFFF"/>
        <color rgb="FFFF4444"/>
      </colorScale>
    </cfRule>
  </conditionalFormatting>
  <conditionalFormatting sqref="B13:H13">
    <cfRule type="colorScale" priority="7">
      <colorScale>
        <cfvo type="formula" val="-0.02"/>
        <cfvo type="formula" val="0"/>
        <cfvo type="formula" val="2.855"/>
        <color rgb="FF4472C4"/>
        <color rgb="FFFFFFFF"/>
        <color rgb="FFFF4444"/>
      </colorScale>
    </cfRule>
  </conditionalFormatting>
  <conditionalFormatting sqref="B14:H14">
    <cfRule type="colorScale" priority="8">
      <colorScale>
        <cfvo type="formula" val="-6.279"/>
        <cfvo type="formula" val="0"/>
        <cfvo type="formula" val="9.442"/>
        <color rgb="FF4472C4"/>
        <color rgb="FFFFFFFF"/>
        <color rgb="FFFF4444"/>
      </colorScale>
    </cfRule>
  </conditionalFormatting>
  <conditionalFormatting sqref="B15:H15">
    <cfRule type="colorScale" priority="9">
      <colorScale>
        <cfvo type="formula" val="-1.187"/>
        <cfvo type="formula" val="0"/>
        <cfvo type="formula" val="2.336"/>
        <color rgb="FF4472C4"/>
        <color rgb="FFFFFFFF"/>
        <color rgb="FFFF4444"/>
      </colorScale>
    </cfRule>
  </conditionalFormatting>
  <conditionalFormatting sqref="B16:H16">
    <cfRule type="colorScale" priority="10">
      <colorScale>
        <cfvo type="formula" val="-0.359"/>
        <cfvo type="formula" val="0"/>
        <cfvo type="formula" val="0.183"/>
        <color rgb="FF4472C4"/>
        <color rgb="FFFFFFFF"/>
        <color rgb="FFFF4444"/>
      </colorScale>
    </cfRule>
  </conditionalFormatting>
  <conditionalFormatting sqref="B17:H17">
    <cfRule type="colorScale" priority="11">
      <colorScale>
        <cfvo type="formula" val="-0.432"/>
        <cfvo type="formula" val="0"/>
        <cfvo type="formula" val="1.369"/>
        <color rgb="FF4472C4"/>
        <color rgb="FFFFFFFF"/>
        <color rgb="FFFF4444"/>
      </colorScale>
    </cfRule>
  </conditionalFormatting>
  <conditionalFormatting sqref="B18:H18">
    <cfRule type="colorScale" priority="12">
      <colorScale>
        <cfvo type="formula" val="-0.153"/>
        <cfvo type="formula" val="0"/>
        <cfvo type="formula" val="0.045"/>
        <color rgb="FF4472C4"/>
        <color rgb="FFFFFFFF"/>
        <color rgb="FFFF4444"/>
      </colorScale>
    </cfRule>
  </conditionalFormatting>
  <conditionalFormatting sqref="B19:H19">
    <cfRule type="colorScale" priority="13">
      <colorScale>
        <cfvo type="formula" val="-0.898"/>
        <cfvo type="formula" val="0"/>
        <cfvo type="formula" val="0.64"/>
        <color rgb="FF4472C4"/>
        <color rgb="FFFFFFFF"/>
        <color rgb="FFFF4444"/>
      </colorScale>
    </cfRule>
  </conditionalFormatting>
  <conditionalFormatting sqref="B20:H20">
    <cfRule type="colorScale" priority="14">
      <colorScale>
        <cfvo type="formula" val="-0.059"/>
        <cfvo type="formula" val="0"/>
        <cfvo type="formula" val="0.18"/>
        <color rgb="FF4472C4"/>
        <color rgb="FFFFFFFF"/>
        <color rgb="FFFF4444"/>
      </colorScale>
    </cfRule>
  </conditionalFormatting>
  <conditionalFormatting sqref="B21:H21 E27">
    <cfRule type="colorScale" priority="15">
      <colorScale>
        <cfvo type="formula" val="-2.757"/>
        <cfvo type="formula" val="0"/>
        <cfvo type="formula" val="3.864"/>
        <color rgb="FFFF4444"/>
        <color rgb="FFFFFFFF"/>
        <color rgb="FF4472C4"/>
      </colorScale>
    </cfRule>
  </conditionalFormatting>
  <conditionalFormatting sqref="B22:H22">
    <cfRule type="colorScale" priority="16">
      <colorScale>
        <cfvo type="formula" val="-0.043"/>
        <cfvo type="formula" val="0"/>
        <cfvo type="formula" val="0.061"/>
        <color rgb="FFFF4444"/>
        <color rgb="FFFFFFFF"/>
        <color rgb="FF4472C4"/>
      </colorScale>
    </cfRule>
  </conditionalFormatting>
  <conditionalFormatting sqref="B27:H27">
    <cfRule type="colorScale" priority="17">
      <colorScale>
        <cfvo type="formula" val="-0.0829"/>
        <cfvo type="formula" val="0"/>
        <cfvo type="formula" val="0.021"/>
        <color rgb="FFFF4444"/>
        <color rgb="FFFFFFFF"/>
        <color rgb="FF4472C4"/>
      </colorScale>
    </cfRule>
  </conditionalFormatting>
  <conditionalFormatting sqref="B28:H28">
    <cfRule type="colorScale" priority="18">
      <colorScale>
        <cfvo type="formula" val="-0.0166"/>
        <cfvo type="formula" val="0"/>
        <cfvo type="formula" val="0.0058"/>
        <color rgb="FF4472C4"/>
        <color rgb="FFFFFFFF"/>
        <color rgb="FFFF4444"/>
      </colorScale>
    </cfRule>
  </conditionalFormatting>
  <conditionalFormatting sqref="B29:H29">
    <cfRule type="colorScale" priority="19">
      <colorScale>
        <cfvo type="formula" val="-0.0742"/>
        <cfvo type="formula" val="0"/>
        <cfvo type="formula" val="0.0543"/>
        <color rgb="FFFF4444"/>
        <color rgb="FFFFFFFF"/>
        <color rgb="FF4472C4"/>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row>
    <row r="2">
      <c r="A2" s="3" t="s">
        <v>4</v>
      </c>
      <c r="B2" s="3" t="s">
        <v>5</v>
      </c>
      <c r="C2" s="3" t="s">
        <v>6</v>
      </c>
      <c r="D2" s="3" t="s">
        <v>7</v>
      </c>
      <c r="E2" s="3" t="s">
        <v>8</v>
      </c>
      <c r="F2" s="3" t="s">
        <v>9</v>
      </c>
      <c r="G2" s="3" t="s">
        <v>10</v>
      </c>
      <c r="H2" s="3" t="s">
        <v>11</v>
      </c>
    </row>
    <row r="3">
      <c r="A3" s="3" t="s">
        <v>12</v>
      </c>
      <c r="B3" s="3">
        <v>-147.619</v>
      </c>
      <c r="C3" s="3">
        <v>-147.159</v>
      </c>
      <c r="D3" s="3">
        <v>-143.833</v>
      </c>
      <c r="E3" s="3">
        <v>-139.935</v>
      </c>
      <c r="F3" s="3">
        <v>-136.629</v>
      </c>
      <c r="G3" s="3">
        <v>-126.604</v>
      </c>
      <c r="H3" s="3">
        <v>-131.729</v>
      </c>
    </row>
    <row r="4">
      <c r="A4" s="3" t="s">
        <v>13</v>
      </c>
      <c r="B4" s="3">
        <v>-135.267</v>
      </c>
      <c r="C4" s="3">
        <v>-129.471</v>
      </c>
      <c r="D4" s="3">
        <v>-131.276</v>
      </c>
      <c r="E4" s="3">
        <v>-131.459</v>
      </c>
      <c r="F4" s="3">
        <v>-129.904</v>
      </c>
      <c r="G4" s="3">
        <v>-133.124</v>
      </c>
      <c r="H4" s="3">
        <v>-131.198</v>
      </c>
    </row>
    <row r="5">
      <c r="A5" s="3" t="s">
        <v>14</v>
      </c>
      <c r="B5" s="3">
        <v>-49.914</v>
      </c>
      <c r="C5" s="3">
        <v>-67.666</v>
      </c>
      <c r="D5" s="3">
        <v>-70.757</v>
      </c>
      <c r="E5" s="3">
        <v>-71.272</v>
      </c>
      <c r="F5" s="3">
        <v>-71.714</v>
      </c>
      <c r="G5" s="3">
        <v>-71.665</v>
      </c>
      <c r="H5" s="3">
        <v>-73.898</v>
      </c>
    </row>
    <row r="6">
      <c r="A6" s="3" t="s">
        <v>15</v>
      </c>
      <c r="B6" s="3">
        <v>7.905</v>
      </c>
      <c r="C6" s="3">
        <v>7.721</v>
      </c>
      <c r="D6" s="3">
        <v>7.822</v>
      </c>
      <c r="E6" s="3">
        <v>7.874</v>
      </c>
      <c r="F6" s="3">
        <v>7.919</v>
      </c>
      <c r="G6" s="3">
        <v>7.783</v>
      </c>
      <c r="H6" s="3">
        <v>7.828</v>
      </c>
    </row>
    <row r="7">
      <c r="A7" s="3" t="s">
        <v>16</v>
      </c>
      <c r="B7" s="3">
        <v>-23.066</v>
      </c>
      <c r="C7" s="3">
        <v>-25.94</v>
      </c>
      <c r="D7" s="3">
        <v>-25.891</v>
      </c>
      <c r="E7" s="3">
        <v>-25.92</v>
      </c>
      <c r="F7" s="3">
        <v>-25.909</v>
      </c>
      <c r="G7" s="3">
        <v>-24.965</v>
      </c>
      <c r="H7" s="3">
        <v>-25.772</v>
      </c>
    </row>
    <row r="8">
      <c r="A8" s="3" t="s">
        <v>17</v>
      </c>
      <c r="B8" s="3">
        <v>-104.779</v>
      </c>
      <c r="C8" s="3">
        <v>-103.852</v>
      </c>
      <c r="D8" s="3">
        <v>-101.281</v>
      </c>
      <c r="E8" s="3">
        <v>-98.5</v>
      </c>
      <c r="F8" s="3">
        <v>-95.921</v>
      </c>
      <c r="G8" s="3">
        <v>-89.058</v>
      </c>
      <c r="H8" s="3">
        <v>-92.371</v>
      </c>
    </row>
    <row r="9">
      <c r="A9" s="3" t="s">
        <v>18</v>
      </c>
      <c r="B9" s="3">
        <v>-28.46</v>
      </c>
      <c r="C9" s="3">
        <v>-28.765</v>
      </c>
      <c r="D9" s="3">
        <v>-28.304</v>
      </c>
      <c r="E9" s="3">
        <v>-27.579</v>
      </c>
      <c r="F9" s="3">
        <v>-27.071</v>
      </c>
      <c r="G9" s="3">
        <v>-25.243</v>
      </c>
      <c r="H9" s="3">
        <v>-26.355</v>
      </c>
    </row>
    <row r="10">
      <c r="A10" s="3" t="s">
        <v>19</v>
      </c>
      <c r="B10" s="3">
        <v>-8.392</v>
      </c>
      <c r="C10" s="3">
        <v>-8.286</v>
      </c>
      <c r="D10" s="3">
        <v>-8.217</v>
      </c>
      <c r="E10" s="3">
        <v>-8.033</v>
      </c>
      <c r="F10" s="3">
        <v>-7.922</v>
      </c>
      <c r="G10" s="3">
        <v>-7.85</v>
      </c>
      <c r="H10" s="3">
        <v>-8.15</v>
      </c>
    </row>
    <row r="11">
      <c r="A11" s="3" t="s">
        <v>20</v>
      </c>
      <c r="B11" s="3">
        <v>-5.989</v>
      </c>
      <c r="C11" s="3">
        <v>-6.255</v>
      </c>
      <c r="D11" s="3">
        <v>-6.031</v>
      </c>
      <c r="E11" s="3">
        <v>-5.823</v>
      </c>
      <c r="F11" s="3">
        <v>-5.715</v>
      </c>
      <c r="G11" s="3">
        <v>-4.454</v>
      </c>
      <c r="H11" s="3">
        <v>-4.853</v>
      </c>
    </row>
    <row r="12">
      <c r="A12" s="3" t="s">
        <v>22</v>
      </c>
      <c r="B12" s="3">
        <v>-347.961</v>
      </c>
      <c r="C12" s="3">
        <v>-362.515</v>
      </c>
      <c r="D12" s="3">
        <v>-363.935</v>
      </c>
      <c r="E12" s="3">
        <v>-360.711</v>
      </c>
      <c r="F12" s="3">
        <v>-356.237</v>
      </c>
      <c r="G12" s="3">
        <v>-348.576</v>
      </c>
      <c r="H12" s="3">
        <v>-354.771</v>
      </c>
    </row>
    <row r="13">
      <c r="A13" s="3" t="s">
        <v>23</v>
      </c>
      <c r="B13" s="3">
        <v>-332.799</v>
      </c>
      <c r="C13" s="3">
        <v>-346.706</v>
      </c>
      <c r="D13" s="3">
        <v>-347.572</v>
      </c>
      <c r="E13" s="3">
        <v>-345.684</v>
      </c>
      <c r="F13" s="3">
        <v>-339.831</v>
      </c>
      <c r="G13" s="3">
        <v>-332.463</v>
      </c>
      <c r="H13" s="3">
        <v>-338.624</v>
      </c>
    </row>
    <row r="14">
      <c r="A14" s="3" t="s">
        <v>24</v>
      </c>
      <c r="B14" s="3">
        <v>14.366</v>
      </c>
      <c r="C14" s="3">
        <v>14.321</v>
      </c>
      <c r="D14" s="3">
        <v>14.053</v>
      </c>
      <c r="E14" s="3">
        <v>13.725</v>
      </c>
      <c r="F14" s="3">
        <v>13.502</v>
      </c>
      <c r="G14" s="3">
        <v>12.828</v>
      </c>
      <c r="H14" s="3">
        <v>13.459</v>
      </c>
    </row>
    <row r="15">
      <c r="A15" s="3" t="s">
        <v>25</v>
      </c>
      <c r="B15" s="3">
        <v>4.705</v>
      </c>
      <c r="C15" s="3">
        <v>4.627</v>
      </c>
      <c r="D15" s="3">
        <v>4.606</v>
      </c>
      <c r="E15" s="3">
        <v>4.525</v>
      </c>
      <c r="F15" s="3">
        <v>4.473</v>
      </c>
      <c r="G15" s="3">
        <v>4.466</v>
      </c>
      <c r="H15" s="3">
        <v>4.609</v>
      </c>
    </row>
    <row r="16">
      <c r="A16" s="3" t="s">
        <v>27</v>
      </c>
      <c r="B16" s="3">
        <v>139.748</v>
      </c>
      <c r="C16" s="3">
        <v>140.043</v>
      </c>
      <c r="D16" s="3">
        <v>140.571</v>
      </c>
      <c r="E16" s="3">
        <v>142.308</v>
      </c>
      <c r="F16" s="3">
        <v>142.567</v>
      </c>
      <c r="G16" s="3">
        <v>141.669</v>
      </c>
      <c r="H16" s="3">
        <v>143.199</v>
      </c>
    </row>
    <row r="17">
      <c r="A17" s="3" t="s">
        <v>29</v>
      </c>
      <c r="B17" s="3">
        <v>46.566</v>
      </c>
      <c r="C17" s="3">
        <v>45.709</v>
      </c>
      <c r="D17" s="3">
        <v>47.118</v>
      </c>
      <c r="E17" s="3">
        <v>48.466</v>
      </c>
      <c r="F17" s="3">
        <v>48.846</v>
      </c>
      <c r="G17" s="3">
        <v>52.33</v>
      </c>
      <c r="H17" s="3">
        <v>50.489</v>
      </c>
    </row>
    <row r="18">
      <c r="A18" s="3" t="s">
        <v>31</v>
      </c>
      <c r="B18" s="3">
        <v>0.733</v>
      </c>
      <c r="C18" s="3">
        <v>0.72</v>
      </c>
      <c r="D18" s="3">
        <v>0.742</v>
      </c>
      <c r="E18" s="3">
        <v>0.763</v>
      </c>
      <c r="F18" s="3">
        <v>0.769</v>
      </c>
      <c r="G18" s="3">
        <v>0.824</v>
      </c>
      <c r="H18" s="3">
        <v>0.795</v>
      </c>
    </row>
    <row r="21">
      <c r="A21" s="3" t="s">
        <v>2</v>
      </c>
    </row>
    <row r="22">
      <c r="A22" s="3" t="s">
        <v>4</v>
      </c>
      <c r="B22" s="3" t="s">
        <v>5</v>
      </c>
      <c r="C22" s="3" t="s">
        <v>6</v>
      </c>
      <c r="D22" s="3" t="s">
        <v>7</v>
      </c>
      <c r="E22" s="3" t="s">
        <v>8</v>
      </c>
      <c r="F22" s="3" t="s">
        <v>9</v>
      </c>
      <c r="G22" s="3" t="s">
        <v>10</v>
      </c>
      <c r="H22" s="3" t="s">
        <v>11</v>
      </c>
    </row>
    <row r="23">
      <c r="A23" s="3" t="s">
        <v>12</v>
      </c>
      <c r="B23" s="3">
        <v>-7.685</v>
      </c>
      <c r="C23" s="3">
        <v>-7.224</v>
      </c>
      <c r="D23" s="3">
        <v>-3.898</v>
      </c>
      <c r="E23" s="3">
        <v>0.0</v>
      </c>
      <c r="F23" s="3">
        <v>3.305</v>
      </c>
      <c r="G23" s="3">
        <v>13.33</v>
      </c>
      <c r="H23" s="3">
        <v>8.205</v>
      </c>
    </row>
    <row r="24">
      <c r="A24" s="3" t="s">
        <v>13</v>
      </c>
      <c r="B24" s="3">
        <v>-3.809</v>
      </c>
      <c r="C24" s="3">
        <v>1.988</v>
      </c>
      <c r="D24" s="3">
        <v>0.183</v>
      </c>
      <c r="E24" s="3">
        <v>0.0</v>
      </c>
      <c r="F24" s="3">
        <v>1.555</v>
      </c>
      <c r="G24" s="3">
        <v>-1.666</v>
      </c>
      <c r="H24" s="3">
        <v>0.261</v>
      </c>
    </row>
    <row r="25">
      <c r="A25" s="3" t="s">
        <v>14</v>
      </c>
      <c r="B25" s="3">
        <v>21.357</v>
      </c>
      <c r="C25" s="3">
        <v>3.606</v>
      </c>
      <c r="D25" s="3">
        <v>0.515</v>
      </c>
      <c r="E25" s="3">
        <v>0.0</v>
      </c>
      <c r="F25" s="3">
        <v>-0.442</v>
      </c>
      <c r="G25" s="3">
        <v>-0.394</v>
      </c>
      <c r="H25" s="3">
        <v>-2.627</v>
      </c>
    </row>
    <row r="26">
      <c r="A26" s="3" t="s">
        <v>15</v>
      </c>
      <c r="B26" s="3">
        <v>0.031</v>
      </c>
      <c r="C26" s="3">
        <v>-0.153</v>
      </c>
      <c r="D26" s="3">
        <v>-0.052</v>
      </c>
      <c r="E26" s="3">
        <v>0.0</v>
      </c>
      <c r="F26" s="3">
        <v>0.045</v>
      </c>
      <c r="G26" s="3">
        <v>-0.091</v>
      </c>
      <c r="H26" s="3">
        <v>-0.046</v>
      </c>
    </row>
    <row r="27">
      <c r="A27" s="3" t="s">
        <v>16</v>
      </c>
      <c r="B27" s="3">
        <v>2.855</v>
      </c>
      <c r="C27" s="3">
        <v>-0.02</v>
      </c>
      <c r="D27" s="3">
        <v>0.029</v>
      </c>
      <c r="E27" s="3">
        <v>0.0</v>
      </c>
      <c r="F27" s="3">
        <v>0.011</v>
      </c>
      <c r="G27" s="3">
        <v>0.955</v>
      </c>
      <c r="H27" s="3">
        <v>0.148</v>
      </c>
    </row>
    <row r="28">
      <c r="A28" s="3" t="s">
        <v>17</v>
      </c>
      <c r="B28" s="3">
        <v>-6.279</v>
      </c>
      <c r="C28" s="3">
        <v>-5.352</v>
      </c>
      <c r="D28" s="3">
        <v>-2.781</v>
      </c>
      <c r="E28" s="3">
        <v>0.0</v>
      </c>
      <c r="F28" s="3">
        <v>2.579</v>
      </c>
      <c r="G28" s="3">
        <v>9.442</v>
      </c>
      <c r="H28" s="3">
        <v>6.129</v>
      </c>
    </row>
    <row r="29">
      <c r="A29" s="3" t="s">
        <v>18</v>
      </c>
      <c r="B29" s="3">
        <v>-0.881</v>
      </c>
      <c r="C29" s="3">
        <v>-1.187</v>
      </c>
      <c r="D29" s="3">
        <v>-0.726</v>
      </c>
      <c r="E29" s="3">
        <v>0.0</v>
      </c>
      <c r="F29" s="3">
        <v>0.507</v>
      </c>
      <c r="G29" s="3">
        <v>2.336</v>
      </c>
      <c r="H29" s="3">
        <v>1.223</v>
      </c>
    </row>
    <row r="30">
      <c r="A30" s="3" t="s">
        <v>19</v>
      </c>
      <c r="B30" s="3">
        <v>-0.359</v>
      </c>
      <c r="C30" s="3">
        <v>-0.253</v>
      </c>
      <c r="D30" s="3">
        <v>-0.183</v>
      </c>
      <c r="E30" s="3">
        <v>0.0</v>
      </c>
      <c r="F30" s="3">
        <v>0.111</v>
      </c>
      <c r="G30" s="3">
        <v>0.183</v>
      </c>
      <c r="H30" s="3">
        <v>-0.117</v>
      </c>
    </row>
    <row r="31">
      <c r="A31" s="3" t="s">
        <v>20</v>
      </c>
      <c r="B31" s="3">
        <v>-0.166</v>
      </c>
      <c r="C31" s="3">
        <v>-0.432</v>
      </c>
      <c r="D31" s="3">
        <v>-0.208</v>
      </c>
      <c r="E31" s="3">
        <v>0.0</v>
      </c>
      <c r="F31" s="3">
        <v>0.108</v>
      </c>
      <c r="G31" s="3">
        <v>1.369</v>
      </c>
      <c r="H31" s="3">
        <v>0.97</v>
      </c>
    </row>
    <row r="32">
      <c r="A32" s="3" t="s">
        <v>22</v>
      </c>
      <c r="B32" s="3">
        <v>12.75</v>
      </c>
      <c r="C32" s="3">
        <v>-1.804</v>
      </c>
      <c r="D32" s="3">
        <v>-3.223</v>
      </c>
      <c r="E32" s="3">
        <v>0.0</v>
      </c>
      <c r="F32" s="3">
        <v>4.475</v>
      </c>
      <c r="G32" s="3">
        <v>12.136</v>
      </c>
      <c r="H32" s="3">
        <v>5.941</v>
      </c>
    </row>
    <row r="33">
      <c r="A33" s="3" t="s">
        <v>23</v>
      </c>
      <c r="B33" s="3">
        <v>12.885</v>
      </c>
      <c r="C33" s="3">
        <v>-1.023</v>
      </c>
      <c r="D33" s="3">
        <v>-1.888</v>
      </c>
      <c r="E33" s="3">
        <v>0.0</v>
      </c>
      <c r="F33" s="3">
        <v>5.853</v>
      </c>
      <c r="G33" s="3">
        <v>13.221</v>
      </c>
      <c r="H33" s="3">
        <v>7.06</v>
      </c>
    </row>
    <row r="34">
      <c r="A34" s="3" t="s">
        <v>24</v>
      </c>
      <c r="B34" s="3">
        <v>0.64</v>
      </c>
      <c r="C34" s="3">
        <v>0.596</v>
      </c>
      <c r="D34" s="3">
        <v>0.328</v>
      </c>
      <c r="E34" s="3">
        <v>0.0</v>
      </c>
      <c r="F34" s="3">
        <v>-0.224</v>
      </c>
      <c r="G34" s="3">
        <v>-0.898</v>
      </c>
      <c r="H34" s="3">
        <v>-0.266</v>
      </c>
    </row>
    <row r="35">
      <c r="A35" s="3" t="s">
        <v>25</v>
      </c>
      <c r="B35" s="3">
        <v>0.18</v>
      </c>
      <c r="C35" s="3">
        <v>0.103</v>
      </c>
      <c r="D35" s="3">
        <v>0.081</v>
      </c>
      <c r="E35" s="3">
        <v>0.0</v>
      </c>
      <c r="F35" s="3">
        <v>-0.052</v>
      </c>
      <c r="G35" s="3">
        <v>-0.059</v>
      </c>
      <c r="H35" s="3">
        <v>0.084</v>
      </c>
    </row>
    <row r="36">
      <c r="A36" s="3" t="s">
        <v>27</v>
      </c>
      <c r="B36" s="3">
        <v>-2.56</v>
      </c>
      <c r="C36" s="3">
        <v>-2.265</v>
      </c>
      <c r="D36" s="3">
        <v>-1.737</v>
      </c>
      <c r="E36" s="3">
        <v>0.0</v>
      </c>
      <c r="F36" s="3">
        <v>0.259</v>
      </c>
      <c r="G36" s="3">
        <v>-0.639</v>
      </c>
      <c r="H36" s="3">
        <v>0.891</v>
      </c>
    </row>
    <row r="37">
      <c r="A37" s="3" t="s">
        <v>29</v>
      </c>
      <c r="B37" s="3">
        <v>-1.9</v>
      </c>
      <c r="C37" s="3">
        <v>-2.757</v>
      </c>
      <c r="D37" s="3">
        <v>-1.348</v>
      </c>
      <c r="E37" s="3">
        <v>0.0</v>
      </c>
      <c r="F37" s="3">
        <v>0.38</v>
      </c>
      <c r="G37" s="3">
        <v>3.864</v>
      </c>
      <c r="H37" s="3">
        <v>2.023</v>
      </c>
    </row>
    <row r="38">
      <c r="A38" s="3" t="s">
        <v>31</v>
      </c>
      <c r="B38" s="3">
        <v>-0.03</v>
      </c>
      <c r="C38" s="3">
        <v>-0.043</v>
      </c>
      <c r="D38" s="3">
        <v>-0.021</v>
      </c>
      <c r="E38" s="3">
        <v>0.0</v>
      </c>
      <c r="F38" s="3">
        <v>0.006</v>
      </c>
      <c r="G38" s="3">
        <v>0.061</v>
      </c>
      <c r="H38" s="3">
        <v>0.032</v>
      </c>
    </row>
  </sheetData>
  <drawing r:id="rId1"/>
</worksheet>
</file>